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davi_santos56_fatec_sp_gov_br/Documents/"/>
    </mc:Choice>
  </mc:AlternateContent>
  <xr:revisionPtr revIDLastSave="191" documentId="8_{4203326D-F3C5-47E4-82B0-16F205081DBF}" xr6:coauthVersionLast="47" xr6:coauthVersionMax="47" xr10:uidLastSave="{D39B9E1B-FCC3-46C2-85F2-8FB99C457BD7}"/>
  <bookViews>
    <workbookView xWindow="-120" yWindow="-120" windowWidth="24240" windowHeight="13020" xr2:uid="{CDA0DDFE-754B-4D31-9A33-B9D5D8BF2225}"/>
  </bookViews>
  <sheets>
    <sheet name="Planilha1" sheetId="1" r:id="rId1"/>
    <sheet name="Planilha2" sheetId="2" r:id="rId2"/>
    <sheet name="Planilha3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Q3" i="3" s="1"/>
  <c r="K3" i="1"/>
  <c r="D7" i="3"/>
  <c r="D6" i="3"/>
  <c r="D5" i="3"/>
  <c r="D4" i="3"/>
  <c r="D3" i="3"/>
  <c r="E2" i="3" a="1"/>
  <c r="E2" i="3" s="1"/>
  <c r="N5" i="2"/>
  <c r="N6" i="2" s="1"/>
  <c r="N3" i="2"/>
  <c r="N4" i="2"/>
  <c r="D7" i="2"/>
  <c r="D6" i="2"/>
  <c r="D5" i="2"/>
  <c r="D4" i="2"/>
  <c r="D3" i="2"/>
  <c r="D4" i="1"/>
  <c r="D5" i="1"/>
  <c r="D6" i="1"/>
  <c r="D7" i="1"/>
  <c r="D3" i="1"/>
  <c r="E2" i="2" l="1" a="1"/>
  <c r="E2" i="2" s="1"/>
  <c r="E2" i="1" a="1"/>
  <c r="E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<sst xmlns="http://schemas.openxmlformats.org/spreadsheetml/2006/main" count="29" uniqueCount="15">
  <si>
    <t>Matriz da endorrelação</t>
  </si>
  <si>
    <t>Elementos</t>
  </si>
  <si>
    <t>a</t>
  </si>
  <si>
    <t>b</t>
  </si>
  <si>
    <t>c</t>
  </si>
  <si>
    <t>d</t>
  </si>
  <si>
    <t>e</t>
  </si>
  <si>
    <t>Simétrica</t>
  </si>
  <si>
    <t>Reflexiva</t>
  </si>
  <si>
    <t>Irreflexiva</t>
  </si>
  <si>
    <t>Assimétrica</t>
  </si>
  <si>
    <t>Propriedades</t>
  </si>
  <si>
    <t>Relação</t>
  </si>
  <si>
    <t>Fecho Reflexivo:</t>
  </si>
  <si>
    <t>Fecho Simétrico: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</si>
</sst>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3" xfId="0" applyBorder="1"/>
    <xf numFmtId="0" fontId="1" fillId="2" borderId="1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4" borderId="1" xfId="0" applyFill="1" applyBorder="1"/>
    <xf numFmtId="0" fontId="0" fillId="3" borderId="5" xfId="0" applyFill="1" applyBorder="1"/>
    <xf numFmtId="0" fontId="0" fillId="3" borderId="2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2" borderId="0" xfId="0" applyFill="1"/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quotePrefix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quotePrefix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7" xfId="0" quotePrefix="1" applyFill="1" applyBorder="1" applyAlignment="1">
      <alignment horizontal="center"/>
    </xf>
    <xf numFmtId="0" fontId="0" fillId="3" borderId="8" xfId="0" quotePrefix="1" applyFill="1" applyBorder="1" applyAlignment="1">
      <alignment horizontal="center"/>
    </xf>
    <xf numFmtId="0" fontId="0" fillId="3" borderId="9" xfId="0" quotePrefix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3" borderId="6" xfId="0" quotePrefix="1" applyFill="1" applyBorder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10" xfId="0" quotePrefix="1" applyFill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</cellXfs>
  <cellStyles count="1">
    <cellStyle name="Normal" xfId="0" builtinId="0"/>
  </cellStyles>
  <dxfs count="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76200</xdr:rowOff>
        </xdr:from>
        <xdr:to>
          <xdr:col>2</xdr:col>
          <xdr:colOff>542925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Reiniciar tabela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76200</xdr:rowOff>
        </xdr:from>
        <xdr:to>
          <xdr:col>2</xdr:col>
          <xdr:colOff>542925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Reiniciar tabela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76200</xdr:rowOff>
        </xdr:from>
        <xdr:to>
          <xdr:col>2</xdr:col>
          <xdr:colOff>542925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Reiniciar tabela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5932A-5F59-42D3-8C06-CAE0E3ADA0C9}">
  <sheetPr codeName="Planilha1"/>
  <dimension ref="B1:O11"/>
  <sheetViews>
    <sheetView tabSelected="1" workbookViewId="0">
      <selection activeCell="K3" sqref="K3:O7"/>
    </sheetView>
  </sheetViews>
  <sheetFormatPr defaultRowHeight="15" x14ac:dyDescent="0.25"/>
  <cols>
    <col min="2" max="2" width="10.140625" bestFit="1" customWidth="1"/>
    <col min="4" max="9" width="4.5703125" customWidth="1"/>
  </cols>
  <sheetData>
    <row r="1" spans="2:15" x14ac:dyDescent="0.25">
      <c r="D1" s="17" t="s">
        <v>0</v>
      </c>
      <c r="E1" s="18"/>
      <c r="F1" s="18"/>
      <c r="G1" s="18"/>
      <c r="H1" s="18"/>
      <c r="I1" s="18"/>
    </row>
    <row r="2" spans="2:15" x14ac:dyDescent="0.25">
      <c r="B2" s="2" t="s">
        <v>1</v>
      </c>
      <c r="D2" s="5"/>
      <c r="E2" s="7" t="str" cm="1">
        <f t="array" ref="E2:I2">TRANSPOSE(D3:D7)</f>
        <v>a</v>
      </c>
      <c r="F2" s="7" t="str">
        <v>b</v>
      </c>
      <c r="G2" s="7" t="str">
        <v>c</v>
      </c>
      <c r="H2" s="7" t="str">
        <v>d</v>
      </c>
      <c r="I2" s="7" t="str">
        <v>e</v>
      </c>
      <c r="K2" s="19" t="s">
        <v>12</v>
      </c>
      <c r="L2" s="19"/>
      <c r="M2" s="19"/>
      <c r="N2" s="19"/>
      <c r="O2" s="19"/>
    </row>
    <row r="3" spans="2:15" x14ac:dyDescent="0.25">
      <c r="B3" s="3" t="s">
        <v>2</v>
      </c>
      <c r="D3" s="6" t="str">
        <f>IF(B3 = "", "", B3)</f>
        <v>a</v>
      </c>
      <c r="E3" s="8">
        <v>0</v>
      </c>
      <c r="F3" s="9">
        <v>0</v>
      </c>
      <c r="G3" s="9">
        <v>0</v>
      </c>
      <c r="H3" s="9">
        <v>0</v>
      </c>
      <c r="I3" s="10">
        <v>0</v>
      </c>
      <c r="K3" s="20" t="str">
        <f>_xlfn.CONCAT(IF(E3=1,_xlfn.CONCAT("(",D3,",",E2,") ; "), ""),IF(F3=1,_xlfn.CONCAT("(",D3,",",F2,") ; "), ""),IF(G3=1,_xlfn.CONCAT("(",D3,",",G2,") ; "), ""),IF(H3=1,_xlfn.CONCAT("(",D3,",",H2,") ; "), ""),IF(I3=1,_xlfn.CONCAT("(",D3,",",I2,") ; "), ""),IF(E4=1,_xlfn.CONCAT("(",D4,",",E2,") ; "), ""),IF(F4=1,_xlfn.CONCAT("(",D4,",",F2,") ; "), ""),IF(G4=1,_xlfn.CONCAT("(",D4,",",G2,") ; "), ""),IF(H4=1,_xlfn.CONCAT("(",D4,",",H2,") ; "), ""),IF(I4=1,_xlfn.CONCAT("(",D4,",",I2,") ; "), ""),IF(E5=1,_xlfn.CONCAT("(",D5,",",E2,") ; "), ""),IF(F5=1,_xlfn.CONCAT("(",D5,",",F2,") ; "), ""),IF(G5=1,_xlfn.CONCAT("(",D5,",",G2,") ; "), ""),IF(H5=1,_xlfn.CONCAT("(",D5,",",H2,") ; "), ""),IF(I5=1,_xlfn.CONCAT("(",D5,",",I2,") ; "), ""),IF(E6=1,_xlfn.CONCAT("(",D6,",",E2,") ; "), ""),IF(F6=1,_xlfn.CONCAT("(",D6,",",F2,") ; "), ""),IF(G6=1,_xlfn.CONCAT("(",D6,",",G2,") ; "), ""),IF(H6=1,_xlfn.CONCAT("(",D6,",",H2,") ; "), ""),IF(I6=1,_xlfn.CONCAT("(",D6,",",I2,") ; "), ""),IF(E7=1,_xlfn.CONCAT("(",D7,",",E2,") ; "), ""),IF(F7=1,_xlfn.CONCAT("(",D7,",",F2,") ; "), ""),IF(G7=1,_xlfn.CONCAT("(",D7,",",G2,") ; "), ""),IF(H7=1,_xlfn.CONCAT("(",D7,",",H2,") ; "), ""),IF(I7=1,_xlfn.CONCAT("(",D7,",",I2,") ; "), ""))</f>
        <v xml:space="preserve">(b,b) ; (b,c) ; (b,d) ; (b,e) ; (c,b) ; (c,c) ; (c,d) ; (d,b) ; (d,c) ; (d,d) ; (e,d) ; </v>
      </c>
      <c r="L3" s="21"/>
      <c r="M3" s="21"/>
      <c r="N3" s="21"/>
      <c r="O3" s="21"/>
    </row>
    <row r="4" spans="2:15" x14ac:dyDescent="0.25">
      <c r="B4" s="1" t="s">
        <v>3</v>
      </c>
      <c r="D4" s="6" t="str">
        <f t="shared" ref="D4:D7" si="0">IF(B4 = "", "", B4)</f>
        <v>b</v>
      </c>
      <c r="E4" s="11">
        <v>0</v>
      </c>
      <c r="F4">
        <v>1</v>
      </c>
      <c r="G4">
        <v>1</v>
      </c>
      <c r="H4">
        <v>1</v>
      </c>
      <c r="I4" s="12">
        <v>1</v>
      </c>
      <c r="K4" s="21"/>
      <c r="L4" s="21"/>
      <c r="M4" s="21"/>
      <c r="N4" s="21"/>
      <c r="O4" s="21"/>
    </row>
    <row r="5" spans="2:15" x14ac:dyDescent="0.25">
      <c r="B5" s="3" t="s">
        <v>4</v>
      </c>
      <c r="D5" s="6" t="str">
        <f t="shared" si="0"/>
        <v>c</v>
      </c>
      <c r="E5" s="11">
        <v>0</v>
      </c>
      <c r="F5">
        <v>1</v>
      </c>
      <c r="G5">
        <v>1</v>
      </c>
      <c r="H5">
        <v>1</v>
      </c>
      <c r="I5" s="12">
        <v>0</v>
      </c>
      <c r="K5" s="21"/>
      <c r="L5" s="21"/>
      <c r="M5" s="21"/>
      <c r="N5" s="21"/>
      <c r="O5" s="21"/>
    </row>
    <row r="6" spans="2:15" x14ac:dyDescent="0.25">
      <c r="B6" s="1" t="s">
        <v>5</v>
      </c>
      <c r="D6" s="6" t="str">
        <f t="shared" si="0"/>
        <v>d</v>
      </c>
      <c r="E6" s="11">
        <v>0</v>
      </c>
      <c r="F6">
        <v>1</v>
      </c>
      <c r="G6">
        <v>1</v>
      </c>
      <c r="H6">
        <v>1</v>
      </c>
      <c r="I6" s="12">
        <v>0</v>
      </c>
      <c r="K6" s="21"/>
      <c r="L6" s="21"/>
      <c r="M6" s="21"/>
      <c r="N6" s="21"/>
      <c r="O6" s="21"/>
    </row>
    <row r="7" spans="2:15" x14ac:dyDescent="0.25">
      <c r="B7" s="4" t="s">
        <v>6</v>
      </c>
      <c r="D7" s="6" t="str">
        <f t="shared" si="0"/>
        <v>e</v>
      </c>
      <c r="E7" s="13">
        <v>0</v>
      </c>
      <c r="F7" s="14">
        <v>0</v>
      </c>
      <c r="G7" s="14">
        <v>0</v>
      </c>
      <c r="H7" s="14">
        <v>1</v>
      </c>
      <c r="I7" s="15">
        <v>0</v>
      </c>
      <c r="K7" s="21"/>
      <c r="L7" s="21"/>
      <c r="M7" s="21"/>
      <c r="N7" s="21"/>
      <c r="O7" s="21"/>
    </row>
    <row r="10" spans="2:15" x14ac:dyDescent="0.25">
      <c r="B10" s="16"/>
      <c r="C10" s="16"/>
    </row>
    <row r="11" spans="2:15" x14ac:dyDescent="0.25">
      <c r="B11" s="16"/>
      <c r="C11" s="16"/>
    </row>
  </sheetData>
  <mergeCells count="3">
    <mergeCell ref="D1:I1"/>
    <mergeCell ref="K2:O2"/>
    <mergeCell ref="K3:O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zerarTabela">
                <anchor moveWithCells="1">
                  <from>
                    <xdr:col>1</xdr:col>
                    <xdr:colOff>47625</xdr:colOff>
                    <xdr:row>9</xdr:row>
                    <xdr:rowOff>76200</xdr:rowOff>
                  </from>
                  <to>
                    <xdr:col>2</xdr:col>
                    <xdr:colOff>542925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EAE0C-99EE-4DEC-AC6D-7A4A4D69D4A1}">
  <sheetPr codeName="Planilha2"/>
  <dimension ref="B1:O11"/>
  <sheetViews>
    <sheetView zoomScaleNormal="100" workbookViewId="0">
      <selection activeCell="R14" sqref="R14"/>
    </sheetView>
  </sheetViews>
  <sheetFormatPr defaultRowHeight="15" x14ac:dyDescent="0.25"/>
  <cols>
    <col min="2" max="2" width="10.140625" bestFit="1" customWidth="1"/>
    <col min="4" max="9" width="4.5703125" customWidth="1"/>
  </cols>
  <sheetData>
    <row r="1" spans="2:15" x14ac:dyDescent="0.25">
      <c r="D1" s="17" t="s">
        <v>0</v>
      </c>
      <c r="E1" s="18"/>
      <c r="F1" s="18"/>
      <c r="G1" s="18"/>
      <c r="H1" s="18"/>
      <c r="I1" s="18"/>
    </row>
    <row r="2" spans="2:15" x14ac:dyDescent="0.25">
      <c r="B2" s="2" t="s">
        <v>1</v>
      </c>
      <c r="D2" s="5"/>
      <c r="E2" s="7" t="str" cm="1">
        <f t="array" ref="E2:I2">TRANSPOSE(D3:D7)</f>
        <v>a</v>
      </c>
      <c r="F2" s="7" t="str">
        <v>b</v>
      </c>
      <c r="G2" s="7" t="str">
        <v>c</v>
      </c>
      <c r="H2" s="7" t="str">
        <v>d</v>
      </c>
      <c r="I2" s="7" t="str">
        <v>e</v>
      </c>
      <c r="K2" s="25" t="s">
        <v>11</v>
      </c>
      <c r="L2" s="25"/>
      <c r="M2" s="25"/>
      <c r="N2" s="19"/>
      <c r="O2" s="19"/>
    </row>
    <row r="3" spans="2:15" x14ac:dyDescent="0.25">
      <c r="B3" s="3" t="s">
        <v>2</v>
      </c>
      <c r="D3" s="6" t="str">
        <f>IF(B3 = "", "", B3)</f>
        <v>a</v>
      </c>
      <c r="E3" s="8">
        <v>1</v>
      </c>
      <c r="F3" s="9">
        <v>1</v>
      </c>
      <c r="G3" s="9">
        <v>0</v>
      </c>
      <c r="H3" s="9">
        <v>0</v>
      </c>
      <c r="I3" s="10">
        <v>0</v>
      </c>
      <c r="K3" s="26" t="s">
        <v>8</v>
      </c>
      <c r="L3" s="27"/>
      <c r="M3" s="28"/>
      <c r="N3" s="22" t="str">
        <f>IF(AND(E3=1,F4=1,G5=1,H6=1,I7=1),"Sim","Não")</f>
        <v>Não</v>
      </c>
      <c r="O3" s="23"/>
    </row>
    <row r="4" spans="2:15" x14ac:dyDescent="0.25">
      <c r="B4" s="1" t="s">
        <v>3</v>
      </c>
      <c r="D4" s="6" t="str">
        <f t="shared" ref="D4:D7" si="0">IF(B4 = "", "", B4)</f>
        <v>b</v>
      </c>
      <c r="E4" s="11">
        <v>1</v>
      </c>
      <c r="F4">
        <v>0</v>
      </c>
      <c r="G4">
        <v>0</v>
      </c>
      <c r="H4">
        <v>0</v>
      </c>
      <c r="I4" s="12">
        <v>0</v>
      </c>
      <c r="K4" s="29" t="s">
        <v>9</v>
      </c>
      <c r="L4" s="30"/>
      <c r="M4" s="31"/>
      <c r="N4" s="22" t="str">
        <f>IF(AND(E3=0,F4=0,G5=0,H6=0,I7=0),"Sim","Não")</f>
        <v>Não</v>
      </c>
      <c r="O4" s="23"/>
    </row>
    <row r="5" spans="2:15" x14ac:dyDescent="0.25">
      <c r="B5" s="3" t="s">
        <v>4</v>
      </c>
      <c r="D5" s="6" t="str">
        <f t="shared" si="0"/>
        <v>c</v>
      </c>
      <c r="E5" s="11">
        <v>0</v>
      </c>
      <c r="F5">
        <v>0</v>
      </c>
      <c r="G5">
        <v>0</v>
      </c>
      <c r="H5">
        <v>0</v>
      </c>
      <c r="I5" s="12">
        <v>0</v>
      </c>
      <c r="K5" s="32" t="s">
        <v>7</v>
      </c>
      <c r="L5" s="33"/>
      <c r="M5" s="34"/>
      <c r="N5" s="24" t="str">
        <f>IF(AND(E3=E3,F3=E4,G3=E5,H3=E6,I3=E7,F4=F4,G4=F5,H4=F6,I4=F7,G5=G5,H5=G6,I5=G7,H6=H6,I6=H7,I7=I7),"Sim","Não")</f>
        <v>Sim</v>
      </c>
      <c r="O5" s="23"/>
    </row>
    <row r="6" spans="2:15" x14ac:dyDescent="0.25">
      <c r="B6" s="1" t="s">
        <v>5</v>
      </c>
      <c r="D6" s="6" t="str">
        <f t="shared" si="0"/>
        <v>d</v>
      </c>
      <c r="E6" s="11">
        <v>0</v>
      </c>
      <c r="F6">
        <v>0</v>
      </c>
      <c r="G6">
        <v>0</v>
      </c>
      <c r="H6">
        <v>0</v>
      </c>
      <c r="I6" s="12">
        <v>0</v>
      </c>
      <c r="K6" s="35" t="s">
        <v>10</v>
      </c>
      <c r="L6" s="36"/>
      <c r="M6" s="37"/>
      <c r="N6" s="22" t="str">
        <f>IF(N5 = "Não", "Sim", "Não")</f>
        <v>Não</v>
      </c>
      <c r="O6" s="23"/>
    </row>
    <row r="7" spans="2:15" x14ac:dyDescent="0.25">
      <c r="B7" s="4" t="s">
        <v>6</v>
      </c>
      <c r="D7" s="6" t="str">
        <f t="shared" si="0"/>
        <v>e</v>
      </c>
      <c r="E7" s="13">
        <v>0</v>
      </c>
      <c r="F7" s="14">
        <v>0</v>
      </c>
      <c r="G7" s="14">
        <v>0</v>
      </c>
      <c r="H7" s="14">
        <v>0</v>
      </c>
      <c r="I7" s="15">
        <v>0</v>
      </c>
    </row>
    <row r="10" spans="2:15" x14ac:dyDescent="0.25">
      <c r="B10" s="16"/>
      <c r="C10" s="16"/>
    </row>
    <row r="11" spans="2:15" x14ac:dyDescent="0.25">
      <c r="B11" s="16"/>
      <c r="C11" s="16"/>
    </row>
  </sheetData>
  <mergeCells count="10">
    <mergeCell ref="N4:O4"/>
    <mergeCell ref="N5:O5"/>
    <mergeCell ref="N6:O6"/>
    <mergeCell ref="D1:I1"/>
    <mergeCell ref="K2:O2"/>
    <mergeCell ref="K3:M3"/>
    <mergeCell ref="K4:M4"/>
    <mergeCell ref="K5:M5"/>
    <mergeCell ref="K6:M6"/>
    <mergeCell ref="N3:O3"/>
  </mergeCells>
  <conditionalFormatting sqref="N3:O6">
    <cfRule type="cellIs" dxfId="5" priority="1" operator="equal">
      <formula>"Sim"</formula>
    </cfRule>
    <cfRule type="cellIs" dxfId="4" priority="2" operator="equal">
      <formula>"Não"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zerarTabela">
                <anchor moveWithCells="1">
                  <from>
                    <xdr:col>1</xdr:col>
                    <xdr:colOff>47625</xdr:colOff>
                    <xdr:row>9</xdr:row>
                    <xdr:rowOff>76200</xdr:rowOff>
                  </from>
                  <to>
                    <xdr:col>2</xdr:col>
                    <xdr:colOff>542925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771DC-2405-46AC-B0B0-7ED2A6703F69}">
  <dimension ref="B1:U11"/>
  <sheetViews>
    <sheetView workbookViewId="0">
      <selection activeCell="K20" sqref="K20"/>
    </sheetView>
  </sheetViews>
  <sheetFormatPr defaultRowHeight="15" x14ac:dyDescent="0.25"/>
  <cols>
    <col min="2" max="2" width="10.140625" bestFit="1" customWidth="1"/>
    <col min="4" max="9" width="4.5703125" customWidth="1"/>
  </cols>
  <sheetData>
    <row r="1" spans="2:21" x14ac:dyDescent="0.25">
      <c r="D1" s="17" t="s">
        <v>0</v>
      </c>
      <c r="E1" s="18"/>
      <c r="F1" s="18"/>
      <c r="G1" s="18"/>
      <c r="H1" s="18"/>
      <c r="I1" s="18"/>
    </row>
    <row r="2" spans="2:21" x14ac:dyDescent="0.25">
      <c r="B2" s="2" t="s">
        <v>1</v>
      </c>
      <c r="D2" s="5"/>
      <c r="E2" s="7" t="str" cm="1">
        <f t="array" ref="E2:I2">TRANSPOSE(D3:D7)</f>
        <v>a</v>
      </c>
      <c r="F2" s="7" t="str">
        <v>b</v>
      </c>
      <c r="G2" s="7" t="str">
        <v>c</v>
      </c>
      <c r="H2" s="7" t="str">
        <v>d</v>
      </c>
      <c r="I2" s="7" t="str">
        <v>e</v>
      </c>
      <c r="K2" s="19" t="s">
        <v>13</v>
      </c>
      <c r="L2" s="19"/>
      <c r="M2" s="19"/>
      <c r="N2" s="19"/>
      <c r="O2" s="19"/>
      <c r="Q2" s="19" t="s">
        <v>14</v>
      </c>
      <c r="R2" s="19"/>
      <c r="S2" s="19"/>
      <c r="T2" s="19"/>
      <c r="U2" s="19"/>
    </row>
    <row r="3" spans="2:21" x14ac:dyDescent="0.25">
      <c r="B3" s="3" t="s">
        <v>2</v>
      </c>
      <c r="D3" s="6" t="str">
        <f>IF(B3 = "", "", B3)</f>
        <v>a</v>
      </c>
      <c r="E3" s="8">
        <v>1</v>
      </c>
      <c r="F3" s="9">
        <v>1</v>
      </c>
      <c r="G3" s="9">
        <v>0</v>
      </c>
      <c r="H3" s="9">
        <v>0</v>
      </c>
      <c r="I3" s="10">
        <v>0</v>
      </c>
      <c r="K3" s="20" t="str">
        <f>_xlfn.CONCAT(IF(E3=1,_xlfn.CONCAT("(",D3,",",E2,") ; "), ""),IF(F3=1,_xlfn.CONCAT("(",D3,",",F2,") ; "), ""),IF(G3=1,_xlfn.CONCAT("(",D3,",",G2,") ; "), ""),IF(H3=1,_xlfn.CONCAT("(",D3,",",H2,") ; "), ""),IF(I3=1,_xlfn.CONCAT("(",D3,",",I2,") ; "), ""),IF(E4=1,_xlfn.CONCAT("(",D4,",",E2,") ; "), ""),IF(F4=1,_xlfn.CONCAT("(",D4,",",F2,") ; "), ""),IF(G4=1,_xlfn.CONCAT("(",D4,",",G2,") ; "), ""),IF(H4=1,_xlfn.CONCAT("(",D4,",",H2,") ; "), ""),IF(I4=1,_xlfn.CONCAT("(",D4,",",I2,") ; "), ""),IF(E5=1,_xlfn.CONCAT("(",D5,",",E2,") ; "), ""),IF(F5=1,_xlfn.CONCAT("(",D5,",",F2,") ; "), ""),IF(G5=1,_xlfn.CONCAT("(",D5,",",G2,") ; "), ""),IF(H5=1,_xlfn.CONCAT("(",D5,",",H2,") ; "), ""),IF(I5=1,_xlfn.CONCAT("(",D5,",",I2,") ; "), ""),IF(E6=1,_xlfn.CONCAT("(",D6,",",E2,") ; "), ""),IF(F6=1,_xlfn.CONCAT("(",D6,",",F2,") ; "), ""),IF(G6=1,_xlfn.CONCAT("(",D6,",",G2,") ; "), ""),IF(H6=1,_xlfn.CONCAT("(",D6,",",H2,") ; "), ""),IF(I6=1,_xlfn.CONCAT("(",D6,",",I2,") ; "), ""),IF(E7=1,_xlfn.CONCAT("(",D7,",",E2,") ; "), ""),IF(F7=1,_xlfn.CONCAT("(",D7,",",F2,") ; "), ""),IF(G7=1,_xlfn.CONCAT("(",D7,",",G2,") ; "), ""),IF(H7=1,_xlfn.CONCAT("(",D7,",",H2,") ; "), ""),IF(I7=1,_xlfn.CONCAT("(",D7,",",I2,") ; "), ""),IF(E3&lt;&gt;1,_xlfn.CONCAT("(",D3,",",E2,") ; "),""),IF(F4&lt;&gt;1,_xlfn.CONCAT("(",D4,",",F2,") ; "),""),IF(G5&lt;&gt;1,_xlfn.CONCAT("(",D5,",",G2,") ; "),""),IF(H6&lt;&gt;1,_xlfn.CONCAT("(",D6,",",H2,") ; "),""),IF(I7&lt;&gt;1,_xlfn.CONCAT("(",D7,",",I2,") ; "),""))</f>
        <v xml:space="preserve">(a,a) ; (a,b) ; (b,a) ; (b,b) ; (c,c) ; (d,d) ; (e,e) ; </v>
      </c>
      <c r="L3" s="21"/>
      <c r="M3" s="21"/>
      <c r="N3" s="21"/>
      <c r="O3" s="21"/>
      <c r="Q3" s="20" t="str">
        <f>_xlfn.CONCAT(IF(K3=1,_xlfn.CONCAT("(",J3,",",K2,") ; "), ""),IF(L3=1,_xlfn.CONCAT("(",J3,",",L2,") ; "), ""),IF(M3=1,_xlfn.CONCAT("(",J3,",",M2,") ; "), ""),IF(N3=1,_xlfn.CONCAT("(",J3,",",N2,") ; "), ""),IF(O3=1,_xlfn.CONCAT("(",J3,",",O2,") ; "), ""),IF(K4=1,_xlfn.CONCAT("(",J4,",",K2,") ; "), ""),IF(L4=1,_xlfn.CONCAT("(",J4,",",L2,") ; "), ""),IF(M4=1,_xlfn.CONCAT("(",J4,",",M2,") ; "), ""),IF(N4=1,_xlfn.CONCAT("(",J4,",",N2,") ; "), ""),IF(O4=1,_xlfn.CONCAT("(",J4,",",O2,") ; "), ""),IF(K5=1,_xlfn.CONCAT("(",J5,",",K2,") ; "), ""),IF(L5=1,_xlfn.CONCAT("(",J5,",",L2,") ; "), ""),IF(M5=1,_xlfn.CONCAT("(",J5,",",M2,") ; "), ""),IF(N5=1,_xlfn.CONCAT("(",J5,",",N2,") ; "), ""),IF(O5=1,_xlfn.CONCAT("(",J5,",",O2,") ; "), ""),IF(K6=1,_xlfn.CONCAT("(",J6,",",K2,") ; "), ""),IF(L6=1,_xlfn.CONCAT("(",J6,",",L2,") ; "), ""),IF(M6=1,_xlfn.CONCAT("(",J6,",",M2,") ; "), ""),IF(N6=1,_xlfn.CONCAT("(",J6,",",N2,") ; "), ""),IF(O6=1,_xlfn.CONCAT("(",J6,",",O2,") ; "), ""),IF(K7=1,_xlfn.CONCAT("(",J7,",",K2,") ; "), ""),IF(L7=1,_xlfn.CONCAT("(",J7,",",L2,") ; "), ""),IF(M7=1,_xlfn.CONCAT("(",J7,",",M2,") ; "), ""),IF(N7=1,_xlfn.CONCAT("(",J7,",",N2,") ; "), ""),IF(O7=1,_xlfn.CONCAT("(",J7,",",O2,") ; "), ""))</f>
        <v/>
      </c>
      <c r="R3" s="21"/>
      <c r="S3" s="21"/>
      <c r="T3" s="21"/>
      <c r="U3" s="21"/>
    </row>
    <row r="4" spans="2:21" x14ac:dyDescent="0.25">
      <c r="B4" s="1" t="s">
        <v>3</v>
      </c>
      <c r="D4" s="6" t="str">
        <f t="shared" ref="D4:D7" si="0">IF(B4 = "", "", B4)</f>
        <v>b</v>
      </c>
      <c r="E4" s="11">
        <v>1</v>
      </c>
      <c r="F4">
        <v>0</v>
      </c>
      <c r="G4">
        <v>0</v>
      </c>
      <c r="H4">
        <v>0</v>
      </c>
      <c r="I4" s="12">
        <v>0</v>
      </c>
      <c r="K4" s="21"/>
      <c r="L4" s="21"/>
      <c r="M4" s="21"/>
      <c r="N4" s="21"/>
      <c r="O4" s="21"/>
      <c r="Q4" s="21"/>
      <c r="R4" s="21"/>
      <c r="S4" s="21"/>
      <c r="T4" s="21"/>
      <c r="U4" s="21"/>
    </row>
    <row r="5" spans="2:21" x14ac:dyDescent="0.25">
      <c r="B5" s="3" t="s">
        <v>4</v>
      </c>
      <c r="D5" s="6" t="str">
        <f t="shared" si="0"/>
        <v>c</v>
      </c>
      <c r="E5" s="11">
        <v>0</v>
      </c>
      <c r="F5">
        <v>0</v>
      </c>
      <c r="G5">
        <v>0</v>
      </c>
      <c r="H5">
        <v>0</v>
      </c>
      <c r="I5" s="12">
        <v>0</v>
      </c>
      <c r="K5" s="21"/>
      <c r="L5" s="21"/>
      <c r="M5" s="21"/>
      <c r="N5" s="21"/>
      <c r="O5" s="21"/>
      <c r="Q5" s="21"/>
      <c r="R5" s="21"/>
      <c r="S5" s="21"/>
      <c r="T5" s="21"/>
      <c r="U5" s="21"/>
    </row>
    <row r="6" spans="2:21" x14ac:dyDescent="0.25">
      <c r="B6" s="1" t="s">
        <v>5</v>
      </c>
      <c r="D6" s="6" t="str">
        <f t="shared" si="0"/>
        <v>d</v>
      </c>
      <c r="E6" s="11">
        <v>0</v>
      </c>
      <c r="F6">
        <v>0</v>
      </c>
      <c r="G6">
        <v>0</v>
      </c>
      <c r="H6">
        <v>0</v>
      </c>
      <c r="I6" s="12">
        <v>0</v>
      </c>
      <c r="K6" s="21"/>
      <c r="L6" s="21"/>
      <c r="M6" s="21"/>
      <c r="N6" s="21"/>
      <c r="O6" s="21"/>
      <c r="Q6" s="21"/>
      <c r="R6" s="21"/>
      <c r="S6" s="21"/>
      <c r="T6" s="21"/>
      <c r="U6" s="21"/>
    </row>
    <row r="7" spans="2:21" x14ac:dyDescent="0.25">
      <c r="B7" s="4" t="s">
        <v>6</v>
      </c>
      <c r="D7" s="6" t="str">
        <f t="shared" si="0"/>
        <v>e</v>
      </c>
      <c r="E7" s="13">
        <v>0</v>
      </c>
      <c r="F7" s="14">
        <v>0</v>
      </c>
      <c r="G7" s="14">
        <v>0</v>
      </c>
      <c r="H7" s="14">
        <v>0</v>
      </c>
      <c r="I7" s="15">
        <v>0</v>
      </c>
      <c r="K7" s="21"/>
      <c r="L7" s="21"/>
      <c r="M7" s="21"/>
      <c r="N7" s="21"/>
      <c r="O7" s="21"/>
      <c r="Q7" s="21"/>
      <c r="R7" s="21"/>
      <c r="S7" s="21"/>
      <c r="T7" s="21"/>
      <c r="U7" s="21"/>
    </row>
    <row r="10" spans="2:21" x14ac:dyDescent="0.25">
      <c r="B10" s="16"/>
      <c r="C10" s="16"/>
    </row>
    <row r="11" spans="2:21" x14ac:dyDescent="0.25">
      <c r="B11" s="16"/>
      <c r="C11" s="16"/>
    </row>
  </sheetData>
  <mergeCells count="5">
    <mergeCell ref="K3:O7"/>
    <mergeCell ref="Q2:U2"/>
    <mergeCell ref="Q3:U7"/>
    <mergeCell ref="D1:I1"/>
    <mergeCell ref="K2:O2"/>
  </mergeCells>
  <conditionalFormatting sqref="M3:M6">
    <cfRule type="cellIs" dxfId="3" priority="3" operator="equal">
      <formula>"Sim"</formula>
    </cfRule>
    <cfRule type="cellIs" dxfId="2" priority="4" operator="equal">
      <formula>"Não"</formula>
    </cfRule>
  </conditionalFormatting>
  <conditionalFormatting sqref="S3:S6">
    <cfRule type="cellIs" dxfId="1" priority="1" operator="equal">
      <formula>"Sim"</formula>
    </cfRule>
    <cfRule type="cellIs" dxfId="0" priority="2" operator="equal">
      <formula>"Não"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zerarTabela">
                <anchor moveWithCells="1">
                  <from>
                    <xdr:col>1</xdr:col>
                    <xdr:colOff>47625</xdr:colOff>
                    <xdr:row>9</xdr:row>
                    <xdr:rowOff>76200</xdr:rowOff>
                  </from>
                  <to>
                    <xdr:col>2</xdr:col>
                    <xdr:colOff>542925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3764F053E0064E97117CE10B65671C" ma:contentTypeVersion="9" ma:contentTypeDescription="Create a new document." ma:contentTypeScope="" ma:versionID="1b724082dc6601990bdf828ec585e00b">
  <xsd:schema xmlns:xsd="http://www.w3.org/2001/XMLSchema" xmlns:xs="http://www.w3.org/2001/XMLSchema" xmlns:p="http://schemas.microsoft.com/office/2006/metadata/properties" xmlns:ns3="014f7f5d-144d-4041-bba0-be833a6b936c" xmlns:ns4="8f39a843-a356-4902-accc-c6e8023837af" targetNamespace="http://schemas.microsoft.com/office/2006/metadata/properties" ma:root="true" ma:fieldsID="515d6f8a1141de9f82df4548adbc5dce" ns3:_="" ns4:_="">
    <xsd:import namespace="014f7f5d-144d-4041-bba0-be833a6b936c"/>
    <xsd:import namespace="8f39a843-a356-4902-accc-c6e8023837a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4f7f5d-144d-4041-bba0-be833a6b93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39a843-a356-4902-accc-c6e8023837a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14f7f5d-144d-4041-bba0-be833a6b936c" xsi:nil="true"/>
  </documentManagement>
</p:properties>
</file>

<file path=customXml/itemProps1.xml><?xml version="1.0" encoding="utf-8"?>
<ds:datastoreItem xmlns:ds="http://schemas.openxmlformats.org/officeDocument/2006/customXml" ds:itemID="{73BA16EF-3AB3-4D66-8109-43DCBF4EBD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4f7f5d-144d-4041-bba0-be833a6b936c"/>
    <ds:schemaRef ds:uri="8f39a843-a356-4902-accc-c6e8023837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8CE4CC-F401-4F96-A58B-CE5B16BF48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FAEF36-59CB-420E-8031-BF5FAFE2E96D}">
  <ds:schemaRefs>
    <ds:schemaRef ds:uri="http://purl.org/dc/dcmitype/"/>
    <ds:schemaRef ds:uri="http://schemas.microsoft.com/office/infopath/2007/PartnerControls"/>
    <ds:schemaRef ds:uri="014f7f5d-144d-4041-bba0-be833a6b936c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documentManagement/types"/>
    <ds:schemaRef ds:uri="8f39a843-a356-4902-accc-c6e8023837af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 SOARES FERNANDES DOS SANTOS</dc:creator>
  <cp:keywords/>
  <dc:description/>
  <cp:lastModifiedBy>DAVI SOARES FERNANDES DOS SANTOS</cp:lastModifiedBy>
  <cp:revision/>
  <dcterms:created xsi:type="dcterms:W3CDTF">2024-06-18T19:45:37Z</dcterms:created>
  <dcterms:modified xsi:type="dcterms:W3CDTF">2024-06-20T23:06:08Z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0x010100C53764F053E0064E97117CE10B65671C</vt:lpwstr>
  </property>
</Properties>
</file>